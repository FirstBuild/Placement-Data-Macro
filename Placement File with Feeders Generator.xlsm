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12487840\Documents\Placement\Placement-Data-Macro\"/>
    </mc:Choice>
  </mc:AlternateContent>
  <bookViews>
    <workbookView xWindow="0" yWindow="0" windowWidth="24000" windowHeight="9510"/>
  </bookViews>
  <sheets>
    <sheet name="Macro" sheetId="1" r:id="rId1"/>
    <sheet name="BOM" sheetId="2" r:id="rId2"/>
    <sheet name="Placement" sheetId="3" r:id="rId3"/>
    <sheet name="prg" sheetId="4" r:id="rId4"/>
  </sheets>
  <functionGroups builtInGroupCount="18"/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<sst xmlns="http://schemas.openxmlformats.org/spreadsheetml/2006/main" count="324" uniqueCount="187">
  <si>
    <t>Instructions:</t>
  </si>
  <si>
    <t>3. Enter information to the right</t>
  </si>
  <si>
    <t>4. Click "Generate." The corresponding .prg file should be generated inside the "Placement" folder</t>
  </si>
  <si>
    <t>Enter your SSO:</t>
  </si>
  <si>
    <t>gesture4-B.csv</t>
  </si>
  <si>
    <t>Enter placement file name:</t>
  </si>
  <si>
    <t>Enter BOM file name:</t>
  </si>
  <si>
    <t>Top or Bottom?</t>
  </si>
  <si>
    <t>Top</t>
  </si>
  <si>
    <t>Bottom</t>
  </si>
  <si>
    <t>Placement file units:</t>
  </si>
  <si>
    <t>X Offset (in inches):</t>
  </si>
  <si>
    <t>Y Offset (in inches):</t>
  </si>
  <si>
    <t>inches</t>
  </si>
  <si>
    <t>mils</t>
  </si>
  <si>
    <t>mm</t>
  </si>
  <si>
    <t>1. Create a folder in the root of 'Documents' called "Placement."</t>
  </si>
  <si>
    <t>gesture4-B_BOM.csv</t>
  </si>
  <si>
    <t>Reference Designator</t>
  </si>
  <si>
    <t>Description</t>
  </si>
  <si>
    <t>Manufacturer</t>
  </si>
  <si>
    <t>Manufacturer Part Number</t>
  </si>
  <si>
    <t>Suppliers</t>
  </si>
  <si>
    <t>Package</t>
  </si>
  <si>
    <t>Quantity</t>
  </si>
  <si>
    <t>Imported</t>
  </si>
  <si>
    <t>Eaglexml Attribute Prod Id</t>
  </si>
  <si>
    <t>Eaglexml Symbol 0</t>
  </si>
  <si>
    <t>Eaglexml Description</t>
  </si>
  <si>
    <t>Value</t>
  </si>
  <si>
    <t>Eaglexml Gate 0</t>
  </si>
  <si>
    <t>Prod Id</t>
  </si>
  <si>
    <t>Eaglexml Deviceset</t>
  </si>
  <si>
    <t>Eaglexml Attribute Value</t>
  </si>
  <si>
    <t>Eaglexml Library</t>
  </si>
  <si>
    <t>Category 85Ce48C4B2B95E09</t>
  </si>
  <si>
    <t>Size Length</t>
  </si>
  <si>
    <t>Case Package Si</t>
  </si>
  <si>
    <t>Mounting Type</t>
  </si>
  <si>
    <t>Category 4C11811B7D3097D6</t>
  </si>
  <si>
    <t>Category F8883582C9A8234F</t>
  </si>
  <si>
    <t>Lifecycle Status</t>
  </si>
  <si>
    <t>Capacitance Tolerance</t>
  </si>
  <si>
    <t>Voltage Rating Dc</t>
  </si>
  <si>
    <t>Category 7542B8484461Ae85</t>
  </si>
  <si>
    <t>Capacitance</t>
  </si>
  <si>
    <t>Voltage</t>
  </si>
  <si>
    <t>Size Thickness</t>
  </si>
  <si>
    <t>Feeder</t>
  </si>
  <si>
    <t>Dielectric Characteristic</t>
  </si>
  <si>
    <t>Size Width</t>
  </si>
  <si>
    <t>Size Height</t>
  </si>
  <si>
    <t>Other Names</t>
  </si>
  <si>
    <t>Imported From</t>
  </si>
  <si>
    <t>Contact Mating Length</t>
  </si>
  <si>
    <t>Color</t>
  </si>
  <si>
    <t>Pitch</t>
  </si>
  <si>
    <t>Connector Type</t>
  </si>
  <si>
    <t>Contact Finish</t>
  </si>
  <si>
    <t>Packaging</t>
  </si>
  <si>
    <t>Number Of Rows</t>
  </si>
  <si>
    <t>Mating Products</t>
  </si>
  <si>
    <t>Standard Package</t>
  </si>
  <si>
    <t>Contact Type</t>
  </si>
  <si>
    <t>Termination</t>
  </si>
  <si>
    <t>Contact Finish Thickness</t>
  </si>
  <si>
    <t>Number Of Positions</t>
  </si>
  <si>
    <t>Number Of Positions Loaded</t>
  </si>
  <si>
    <t>Eaglexml Device</t>
  </si>
  <si>
    <t>C1</t>
  </si>
  <si>
    <t>SparkFun-Capacitors:100UF-10V-10%(TANT):</t>
  </si>
  <si>
    <t>unknown</t>
  </si>
  <si>
    <t>100UF-10V-10%(TANT)</t>
  </si>
  <si>
    <t>EIA7343</t>
  </si>
  <si>
    <t>yes</t>
  </si>
  <si>
    <t>CAP-07890</t>
  </si>
  <si>
    <t>CAP_POL</t>
  </si>
  <si>
    <t>100uF</t>
  </si>
  <si>
    <t>G$1</t>
  </si>
  <si>
    <t>SparkFun-Capacitors</t>
  </si>
  <si>
    <t>Chip Monolithic Ceramic Capacitors</t>
  </si>
  <si>
    <t>Murata</t>
  </si>
  <si>
    <t>GRM188R71C105KA12D</t>
  </si>
  <si>
    <t>Digi-Key 490-3900-1-ND/Digi-Key 490-3900-6-ND/Digi-Key 490-3900-2-ND/Newark 14T3313</t>
  </si>
  <si>
    <t>Uncategorized</t>
  </si>
  <si>
    <t>1.6 mm</t>
  </si>
  <si>
    <t>surface mount</t>
  </si>
  <si>
    <t>Single Components</t>
  </si>
  <si>
    <t>Capacitors</t>
  </si>
  <si>
    <t>Active</t>
  </si>
  <si>
    <t>Â±10%</t>
  </si>
  <si>
    <t>16 V</t>
  </si>
  <si>
    <t>Passive Components</t>
  </si>
  <si>
    <t>1 uF</t>
  </si>
  <si>
    <t>800 um</t>
  </si>
  <si>
    <t>X7R</t>
  </si>
  <si>
    <t>C2</t>
  </si>
  <si>
    <t>J8</t>
  </si>
  <si>
    <t>Headers &amp; Wire Housings 6 POS HDR R/A SMT</t>
  </si>
  <si>
    <t>TE Connectivity</t>
  </si>
  <si>
    <t>5-1775444-6</t>
  </si>
  <si>
    <t>HEADER 6</t>
  </si>
  <si>
    <t>"Surface Mount</t>
  </si>
  <si>
    <t xml:space="preserve"> Right Angle"</t>
  </si>
  <si>
    <t>A100000DKR</t>
  </si>
  <si>
    <t>PartsBot</t>
  </si>
  <si>
    <t>"0.106"" (2.70mm)"</t>
  </si>
  <si>
    <t>Natural</t>
  </si>
  <si>
    <t>"0.059"" (1.50mm)"</t>
  </si>
  <si>
    <t>"Header</t>
  </si>
  <si>
    <t xml:space="preserve"> Shrouded"</t>
  </si>
  <si>
    <t>Tin</t>
  </si>
  <si>
    <t>Digi-ReelÂ®</t>
  </si>
  <si>
    <t>- CONN RCPT HOUSING 6POS 1.5MM</t>
  </si>
  <si>
    <t>Male Pin</t>
  </si>
  <si>
    <t>Solder</t>
  </si>
  <si>
    <t>100Âµin (2.54Âµm)</t>
  </si>
  <si>
    <t>All</t>
  </si>
  <si>
    <t>R1</t>
  </si>
  <si>
    <t>SparkFun-Resistors:10KOHM1/10W1%(0603):0603</t>
  </si>
  <si>
    <t>10KOHM1/10W1%(0603)</t>
  </si>
  <si>
    <t>0603-RES</t>
  </si>
  <si>
    <t>RES-00824</t>
  </si>
  <si>
    <t>RESISTOR</t>
  </si>
  <si>
    <t>10K</t>
  </si>
  <si>
    <t>SparkFun-Resistors</t>
  </si>
  <si>
    <t>R2</t>
  </si>
  <si>
    <t>SparkFun-Resistors:4.7KOHM1/10W1%(0603):</t>
  </si>
  <si>
    <t>4.7KOHM1/10W1%(0603)</t>
  </si>
  <si>
    <t>RES-07857</t>
  </si>
  <si>
    <t>4.7k</t>
  </si>
  <si>
    <t>R3</t>
  </si>
  <si>
    <t>R4</t>
  </si>
  <si>
    <t>SparkFun-Resistors:RESISTOR:0603</t>
  </si>
  <si>
    <t>"&lt;b&gt;Resistor&lt;/b&gt;
Basic schematic elements and footprints for 0603</t>
  </si>
  <si>
    <t xml:space="preserve"> and PTH resistors."</t>
  </si>
  <si>
    <t>DNP</t>
  </si>
  <si>
    <t>SJ1</t>
  </si>
  <si>
    <t>SparkFun-Passives:SOLDERJUMPER_2WAY:PASTE1&amp;2&amp;3</t>
  </si>
  <si>
    <t>SOLDERJUMPER_2WAY</t>
  </si>
  <si>
    <t>SJ_3_PASTE1&amp;2&amp;3</t>
  </si>
  <si>
    <t>SJ_2</t>
  </si>
  <si>
    <t>"&lt;b&gt;Solder Jumper&lt;/b&gt;
2 way solder jumper"</t>
  </si>
  <si>
    <t>SparkFun-Passives</t>
  </si>
  <si>
    <t>PASTE1&amp;2&amp;3</t>
  </si>
  <si>
    <t>SJ2</t>
  </si>
  <si>
    <t>SparkFun-Retired:SOLDERJUMPER:NC</t>
  </si>
  <si>
    <t>SOLDERJUMPER</t>
  </si>
  <si>
    <t>SJ_2S</t>
  </si>
  <si>
    <t>SJ</t>
  </si>
  <si>
    <t>"&lt;b&gt;Solder Jumper&lt;/b&gt;
Standard SMD solder jumper. Used to automate production. Two varients : Normally Open and Normally Closed are the same</t>
  </si>
  <si>
    <t xml:space="preserve"> but have different paste layers. NC will have a large amount of paste and should jumper during reflow."</t>
  </si>
  <si>
    <t>SparkFun-Retired</t>
  </si>
  <si>
    <t>NC</t>
  </si>
  <si>
    <t>STANDOFF1</t>
  </si>
  <si>
    <t>SparkFun-Electromechanical:STAND-OFF:</t>
  </si>
  <si>
    <t>STAND-OFF</t>
  </si>
  <si>
    <t>"&lt;b&gt;#4 Stand Off&lt;/b&gt;&lt;p&gt;
This is the mechanical footprint for a #4 phillips button head screw. Use the keepout ring to avoid running the screw head into surrounding components. SKU : PRT-00447"</t>
  </si>
  <si>
    <t>SparkFun-Electromechanical</t>
  </si>
  <si>
    <t>STANDOFF2</t>
  </si>
  <si>
    <t>U1</t>
  </si>
  <si>
    <t>SparkFun-Sensors:APDS-9960:</t>
  </si>
  <si>
    <t>APDS-9960</t>
  </si>
  <si>
    <t>SEN-12005</t>
  </si>
  <si>
    <t>"Avago APDS-9960 digital proximity</t>
  </si>
  <si>
    <t xml:space="preserve"> ambient light</t>
  </si>
  <si>
    <t xml:space="preserve"> RGB</t>
  </si>
  <si>
    <t xml:space="preserve"> and gesture sensor."</t>
  </si>
  <si>
    <t>SparkFun-Sensors</t>
  </si>
  <si>
    <t>RefDes</t>
  </si>
  <si>
    <t>Side</t>
  </si>
  <si>
    <t>LocationX (Mil)</t>
  </si>
  <si>
    <t>LocationY (Mil)</t>
  </si>
  <si>
    <t>Rotation</t>
  </si>
  <si>
    <t>bottom</t>
  </si>
  <si>
    <t>10k</t>
  </si>
  <si>
    <t>top</t>
  </si>
  <si>
    <t>Output .prg file name:</t>
  </si>
  <si>
    <t>gesture4-B.prg</t>
  </si>
  <si>
    <t>2. Put the placement file (.csv) and BOM (.csv) inside folder</t>
  </si>
  <si>
    <t>no</t>
  </si>
  <si>
    <t>Parameters</t>
  </si>
  <si>
    <t>Make sure to add the attribute "Feeder" for any parts that are on the reels. (It is case sensitive).</t>
  </si>
  <si>
    <t>Reflect X?</t>
  </si>
  <si>
    <t>Reflect Y?</t>
  </si>
  <si>
    <t>Notes:</t>
  </si>
  <si>
    <t>Reflect option reflects the value THEN adds the offset.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</si>
</sst>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30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indexed="64"/>
      </bottom>
      <diagonal/>
    </border>
  </borders>
  <cellStyleXfs count="3">
    <xf numFmtId="0" fontId="0" fillId="0" borderId="0"/>
    <xf numFmtId="0" fontId="4" fillId="3" borderId="2" applyNumberFormat="0" applyAlignment="0" applyProtection="0"/>
    <xf numFmtId="0" fontId="3" fillId="4" borderId="3" applyNumberFormat="0" applyFont="0" applyAlignment="0" applyProtection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0" fillId="0" borderId="0" xfId="0" applyAlignment="1">
      <alignment wrapText="1"/>
    </xf>
    <xf numFmtId="0" fontId="4" fillId="3" borderId="1" xfId="1" applyBorder="1"/>
    <xf numFmtId="0" fontId="0" fillId="4" borderId="1" xfId="2" applyFont="1" applyBorder="1"/>
    <xf numFmtId="0" fontId="2" fillId="2" borderId="1" xfId="0" applyFont="1" applyFill="1" applyBorder="1" applyAlignment="1"/>
    <xf numFmtId="0" fontId="6" fillId="2" borderId="1" xfId="0" applyFont="1" applyFill="1" applyBorder="1" applyAlignment="1"/>
    <xf numFmtId="0" fontId="5" fillId="3" borderId="4" xfId="1" applyFont="1" applyBorder="1" applyAlignment="1">
      <alignment horizontal="center" vertical="center"/>
    </xf>
    <xf numFmtId="0" fontId="5" fillId="3" borderId="5" xfId="1" applyFont="1" applyBorder="1" applyAlignment="1">
      <alignment horizontal="center" vertical="center"/>
    </xf>
  </cellXfs>
  <cellStyles count="3"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13</xdr:row>
          <xdr:rowOff>142875</xdr:rowOff>
        </xdr:from>
        <xdr:to>
          <xdr:col>3</xdr:col>
          <xdr:colOff>1247775</xdr:colOff>
          <xdr:row>18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0"/>
  <sheetViews>
    <sheetView tabSelected="1" workbookViewId="0">
      <selection activeCell="A17" sqref="A17"/>
    </sheetView>
  </sheetViews>
  <sheetFormatPr defaultRowHeight="15" x14ac:dyDescent="0.25"/>
  <cols>
    <col min="1" max="1" width="92.5703125" customWidth="1"/>
    <col min="3" max="3" width="38.7109375" customWidth="1"/>
    <col min="4" max="4" width="36.5703125" customWidth="1"/>
    <col min="5" max="6" width="38.7109375" customWidth="1"/>
  </cols>
  <sheetData>
    <row r="1" spans="1:4" ht="39" customHeight="1" x14ac:dyDescent="0.25">
      <c r="A1" s="1" t="s">
        <v>0</v>
      </c>
      <c r="C1" s="8" t="s">
        <v>181</v>
      </c>
      <c r="D1" s="9"/>
    </row>
    <row r="2" spans="1:4" ht="15.75" x14ac:dyDescent="0.25">
      <c r="A2" s="2" t="s">
        <v>16</v>
      </c>
      <c r="C2" s="4" t="s">
        <v>5</v>
      </c>
      <c r="D2" s="5" t="s">
        <v>4</v>
      </c>
    </row>
    <row r="3" spans="1:4" ht="15.75" x14ac:dyDescent="0.25">
      <c r="A3" s="2" t="s">
        <v>179</v>
      </c>
      <c r="C3" s="4" t="s">
        <v>6</v>
      </c>
      <c r="D3" s="5" t="s">
        <v>17</v>
      </c>
    </row>
    <row r="4" spans="1:4" ht="15.75" x14ac:dyDescent="0.25">
      <c r="A4" s="2" t="s">
        <v>1</v>
      </c>
      <c r="C4" s="4" t="s">
        <v>3</v>
      </c>
      <c r="D4" s="5">
        <v>212487840</v>
      </c>
    </row>
    <row r="5" spans="1:4" ht="15.75" x14ac:dyDescent="0.25">
      <c r="A5" s="2" t="s">
        <v>2</v>
      </c>
      <c r="C5" s="4" t="s">
        <v>7</v>
      </c>
      <c r="D5" s="5" t="s">
        <v>9</v>
      </c>
    </row>
    <row r="6" spans="1:4" x14ac:dyDescent="0.25">
      <c r="C6" s="4" t="s">
        <v>11</v>
      </c>
      <c r="D6" s="5">
        <v>0</v>
      </c>
    </row>
    <row r="7" spans="1:4" ht="15.75" customHeight="1" x14ac:dyDescent="0.25">
      <c r="A7" s="7" t="s">
        <v>185</v>
      </c>
      <c r="C7" s="4" t="s">
        <v>12</v>
      </c>
      <c r="D7" s="5">
        <v>0</v>
      </c>
    </row>
    <row r="8" spans="1:4" ht="15.75" x14ac:dyDescent="0.25">
      <c r="A8" s="6" t="s">
        <v>182</v>
      </c>
      <c r="C8" s="4" t="s">
        <v>10</v>
      </c>
      <c r="D8" s="5" t="s">
        <v>14</v>
      </c>
    </row>
    <row r="9" spans="1:4" ht="15.75" x14ac:dyDescent="0.25">
      <c r="A9" s="6" t="s">
        <v>186</v>
      </c>
      <c r="C9" s="4" t="s">
        <v>177</v>
      </c>
      <c r="D9" s="5" t="s">
        <v>178</v>
      </c>
    </row>
    <row r="10" spans="1:4" x14ac:dyDescent="0.25">
      <c r="C10" s="4" t="s">
        <v>183</v>
      </c>
      <c r="D10" s="5" t="s">
        <v>180</v>
      </c>
    </row>
    <row r="11" spans="1:4" x14ac:dyDescent="0.25">
      <c r="C11" s="4" t="s">
        <v>184</v>
      </c>
      <c r="D11" s="5" t="s">
        <v>180</v>
      </c>
    </row>
    <row r="48" spans="8:8" x14ac:dyDescent="0.25">
      <c r="H48" t="s">
        <v>14</v>
      </c>
    </row>
    <row r="49" spans="7:9" x14ac:dyDescent="0.25">
      <c r="G49" t="s">
        <v>8</v>
      </c>
      <c r="H49" t="s">
        <v>13</v>
      </c>
      <c r="I49" t="s">
        <v>74</v>
      </c>
    </row>
    <row r="50" spans="7:9" x14ac:dyDescent="0.25">
      <c r="G50" t="s">
        <v>9</v>
      </c>
      <c r="H50" t="s">
        <v>15</v>
      </c>
      <c r="I50" t="s">
        <v>180</v>
      </c>
    </row>
  </sheetData>
  <dataConsolidate/>
  <mergeCells count="1">
    <mergeCell ref="C1:D1"/>
  </mergeCells>
  <dataValidations count="3">
    <dataValidation type="list" allowBlank="1" showInputMessage="1" showErrorMessage="1" sqref="D5">
      <formula1>$G$49:$G$50</formula1>
    </dataValidation>
    <dataValidation type="list" allowBlank="1" showInputMessage="1" showErrorMessage="1" sqref="D8">
      <formula1>$H$48:$H$50</formula1>
    </dataValidation>
    <dataValidation type="list" allowBlank="1" showInputMessage="1" showErrorMessage="1" sqref="F2 D10 D11">
      <formula1>$I$49:$I$50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1219200</xdr:colOff>
                <xdr:row>13</xdr:row>
                <xdr:rowOff>142875</xdr:rowOff>
              </from>
              <to>
                <xdr:col>3</xdr:col>
                <xdr:colOff>1247775</xdr:colOff>
                <xdr:row>18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4"/>
  <sheetViews>
    <sheetView topLeftCell="L1" workbookViewId="0">
      <selection activeCell="L1" sqref="A1:XFD1048576"/>
    </sheetView>
  </sheetViews>
  <sheetFormatPr defaultRowHeight="15" x14ac:dyDescent="0.25"/>
  <sheetData>
    <row r="1" spans="1:53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65</v>
      </c>
      <c r="AW1" t="s">
        <v>66</v>
      </c>
      <c r="AX1" t="s">
        <v>67</v>
      </c>
      <c r="AY1" t="s">
        <v>68</v>
      </c>
    </row>
    <row r="2" spans="1:53" x14ac:dyDescent="0.25">
      <c r="A2" t="s">
        <v>69</v>
      </c>
      <c r="B2" t="s">
        <v>70</v>
      </c>
      <c r="C2" t="s">
        <v>71</v>
      </c>
      <c r="D2" t="s">
        <v>72</v>
      </c>
      <c r="F2" t="s">
        <v>73</v>
      </c>
      <c r="G2">
        <v>1</v>
      </c>
      <c r="H2" t="s">
        <v>74</v>
      </c>
      <c r="I2" t="s">
        <v>75</v>
      </c>
      <c r="J2" t="s">
        <v>76</v>
      </c>
      <c r="K2" t="s">
        <v>75</v>
      </c>
      <c r="L2" t="s">
        <v>77</v>
      </c>
      <c r="M2" t="s">
        <v>78</v>
      </c>
      <c r="N2" t="s">
        <v>75</v>
      </c>
      <c r="O2" t="s">
        <v>72</v>
      </c>
      <c r="P2" t="s">
        <v>77</v>
      </c>
      <c r="Q2" t="s">
        <v>79</v>
      </c>
    </row>
    <row r="3" spans="1:53" x14ac:dyDescent="0.25">
      <c r="A3" t="s">
        <v>69</v>
      </c>
      <c r="B3" t="s">
        <v>80</v>
      </c>
      <c r="C3" t="s">
        <v>81</v>
      </c>
      <c r="D3" t="s">
        <v>82</v>
      </c>
      <c r="E3" t="s">
        <v>83</v>
      </c>
      <c r="F3">
        <v>603</v>
      </c>
      <c r="G3">
        <v>1</v>
      </c>
      <c r="R3" t="s">
        <v>84</v>
      </c>
      <c r="S3" t="s">
        <v>85</v>
      </c>
      <c r="T3">
        <v>1608</v>
      </c>
      <c r="U3" t="s">
        <v>86</v>
      </c>
      <c r="V3" t="s">
        <v>87</v>
      </c>
      <c r="W3" t="s">
        <v>88</v>
      </c>
      <c r="X3" t="s">
        <v>89</v>
      </c>
      <c r="Y3" t="s">
        <v>90</v>
      </c>
      <c r="Z3" t="s">
        <v>91</v>
      </c>
      <c r="AA3" t="s">
        <v>92</v>
      </c>
      <c r="AB3" t="s">
        <v>93</v>
      </c>
      <c r="AC3" t="s">
        <v>91</v>
      </c>
      <c r="AD3" t="s">
        <v>94</v>
      </c>
      <c r="AE3">
        <v>10.02</v>
      </c>
      <c r="AF3" t="s">
        <v>95</v>
      </c>
      <c r="AG3" t="s">
        <v>94</v>
      </c>
      <c r="AH3" t="s">
        <v>94</v>
      </c>
    </row>
    <row r="4" spans="1:53" x14ac:dyDescent="0.25">
      <c r="A4" t="s">
        <v>96</v>
      </c>
      <c r="B4" t="s">
        <v>80</v>
      </c>
      <c r="C4" t="s">
        <v>81</v>
      </c>
      <c r="D4" t="s">
        <v>82</v>
      </c>
      <c r="E4" t="s">
        <v>83</v>
      </c>
      <c r="F4">
        <v>603</v>
      </c>
      <c r="G4">
        <v>1</v>
      </c>
      <c r="R4" t="s">
        <v>84</v>
      </c>
      <c r="S4" t="s">
        <v>85</v>
      </c>
      <c r="T4">
        <v>1608</v>
      </c>
      <c r="U4" t="s">
        <v>86</v>
      </c>
      <c r="V4" t="s">
        <v>87</v>
      </c>
      <c r="W4" t="s">
        <v>88</v>
      </c>
      <c r="X4" t="s">
        <v>89</v>
      </c>
      <c r="Y4" t="s">
        <v>90</v>
      </c>
      <c r="Z4" t="s">
        <v>91</v>
      </c>
      <c r="AA4" t="s">
        <v>92</v>
      </c>
      <c r="AB4" t="s">
        <v>93</v>
      </c>
      <c r="AC4" t="s">
        <v>91</v>
      </c>
      <c r="AD4" t="s">
        <v>94</v>
      </c>
      <c r="AF4" t="s">
        <v>95</v>
      </c>
      <c r="AG4" t="s">
        <v>94</v>
      </c>
      <c r="AH4" t="s">
        <v>94</v>
      </c>
    </row>
    <row r="5" spans="1:53" x14ac:dyDescent="0.25">
      <c r="A5" t="s">
        <v>97</v>
      </c>
      <c r="B5" t="s">
        <v>98</v>
      </c>
      <c r="C5" t="s">
        <v>99</v>
      </c>
      <c r="D5" t="s">
        <v>100</v>
      </c>
      <c r="F5" t="s">
        <v>101</v>
      </c>
      <c r="G5">
        <v>1</v>
      </c>
      <c r="U5" t="s">
        <v>102</v>
      </c>
      <c r="V5" t="s">
        <v>103</v>
      </c>
      <c r="AJ5" t="s">
        <v>104</v>
      </c>
      <c r="AK5" t="s">
        <v>105</v>
      </c>
      <c r="AL5" t="s">
        <v>106</v>
      </c>
      <c r="AM5" t="s">
        <v>107</v>
      </c>
      <c r="AN5" t="s">
        <v>108</v>
      </c>
      <c r="AO5" t="s">
        <v>109</v>
      </c>
      <c r="AP5" t="s">
        <v>110</v>
      </c>
      <c r="AQ5" t="s">
        <v>111</v>
      </c>
      <c r="AR5" t="s">
        <v>112</v>
      </c>
      <c r="AS5">
        <v>1</v>
      </c>
      <c r="AT5" t="s">
        <v>113</v>
      </c>
      <c r="AU5">
        <v>1</v>
      </c>
      <c r="AV5" t="s">
        <v>114</v>
      </c>
      <c r="AW5" t="s">
        <v>115</v>
      </c>
      <c r="AX5" t="s">
        <v>116</v>
      </c>
      <c r="AY5">
        <v>6</v>
      </c>
      <c r="AZ5" t="s">
        <v>117</v>
      </c>
    </row>
    <row r="6" spans="1:53" x14ac:dyDescent="0.25">
      <c r="A6" t="s">
        <v>118</v>
      </c>
      <c r="B6" t="s">
        <v>119</v>
      </c>
      <c r="C6" t="s">
        <v>71</v>
      </c>
      <c r="D6" t="s">
        <v>120</v>
      </c>
      <c r="F6" t="s">
        <v>121</v>
      </c>
      <c r="G6">
        <v>1</v>
      </c>
      <c r="H6" t="s">
        <v>74</v>
      </c>
      <c r="I6" t="s">
        <v>122</v>
      </c>
      <c r="J6" t="s">
        <v>123</v>
      </c>
      <c r="K6" t="s">
        <v>122</v>
      </c>
      <c r="L6" t="s">
        <v>124</v>
      </c>
      <c r="M6" t="s">
        <v>78</v>
      </c>
      <c r="N6" t="s">
        <v>122</v>
      </c>
      <c r="O6" t="s">
        <v>120</v>
      </c>
      <c r="P6" t="s">
        <v>124</v>
      </c>
      <c r="Q6" t="s">
        <v>125</v>
      </c>
      <c r="AY6">
        <v>603</v>
      </c>
    </row>
    <row r="7" spans="1:53" x14ac:dyDescent="0.25">
      <c r="A7" t="s">
        <v>126</v>
      </c>
      <c r="B7" t="s">
        <v>127</v>
      </c>
      <c r="C7" t="s">
        <v>71</v>
      </c>
      <c r="D7" t="s">
        <v>128</v>
      </c>
      <c r="F7">
        <v>603</v>
      </c>
      <c r="G7">
        <v>1</v>
      </c>
      <c r="H7" t="s">
        <v>74</v>
      </c>
      <c r="I7" t="s">
        <v>129</v>
      </c>
      <c r="J7" t="s">
        <v>123</v>
      </c>
      <c r="K7" t="s">
        <v>129</v>
      </c>
      <c r="L7" t="s">
        <v>130</v>
      </c>
      <c r="M7" t="s">
        <v>78</v>
      </c>
      <c r="N7" t="s">
        <v>129</v>
      </c>
      <c r="O7" t="s">
        <v>128</v>
      </c>
      <c r="Q7" t="s">
        <v>125</v>
      </c>
      <c r="AE7">
        <v>10.029999999999999</v>
      </c>
    </row>
    <row r="8" spans="1:53" x14ac:dyDescent="0.25">
      <c r="A8" t="s">
        <v>131</v>
      </c>
      <c r="B8" t="s">
        <v>127</v>
      </c>
      <c r="C8" t="s">
        <v>71</v>
      </c>
      <c r="D8" t="s">
        <v>128</v>
      </c>
      <c r="F8">
        <v>603</v>
      </c>
      <c r="G8">
        <v>1</v>
      </c>
      <c r="H8" t="s">
        <v>74</v>
      </c>
      <c r="I8" t="s">
        <v>129</v>
      </c>
      <c r="J8" t="s">
        <v>123</v>
      </c>
      <c r="K8" t="s">
        <v>129</v>
      </c>
      <c r="L8" t="s">
        <v>130</v>
      </c>
      <c r="M8" t="s">
        <v>78</v>
      </c>
      <c r="N8" t="s">
        <v>129</v>
      </c>
      <c r="O8" t="s">
        <v>128</v>
      </c>
      <c r="Q8" t="s">
        <v>125</v>
      </c>
      <c r="AE8">
        <v>10.029999999999999</v>
      </c>
    </row>
    <row r="9" spans="1:53" ht="150" x14ac:dyDescent="0.25">
      <c r="A9" t="s">
        <v>132</v>
      </c>
      <c r="B9" t="s">
        <v>133</v>
      </c>
      <c r="C9" t="s">
        <v>71</v>
      </c>
      <c r="D9" t="s">
        <v>123</v>
      </c>
      <c r="F9" t="s">
        <v>121</v>
      </c>
      <c r="G9">
        <v>1</v>
      </c>
      <c r="H9" t="s">
        <v>74</v>
      </c>
      <c r="J9" t="s">
        <v>123</v>
      </c>
      <c r="K9" s="3" t="s">
        <v>134</v>
      </c>
      <c r="L9">
        <v>1206</v>
      </c>
      <c r="M9" t="s">
        <v>135</v>
      </c>
      <c r="N9" t="s">
        <v>136</v>
      </c>
      <c r="O9" t="s">
        <v>78</v>
      </c>
      <c r="Q9" t="s">
        <v>123</v>
      </c>
      <c r="S9" t="s">
        <v>125</v>
      </c>
      <c r="BA9">
        <v>603</v>
      </c>
    </row>
    <row r="10" spans="1:53" ht="105" x14ac:dyDescent="0.25">
      <c r="A10" t="s">
        <v>137</v>
      </c>
      <c r="B10" t="s">
        <v>138</v>
      </c>
      <c r="C10" t="s">
        <v>71</v>
      </c>
      <c r="D10" t="s">
        <v>139</v>
      </c>
      <c r="F10" t="s">
        <v>140</v>
      </c>
      <c r="G10">
        <v>1</v>
      </c>
      <c r="H10" t="s">
        <v>74</v>
      </c>
      <c r="J10" t="s">
        <v>141</v>
      </c>
      <c r="K10" s="3" t="s">
        <v>142</v>
      </c>
      <c r="M10" t="s">
        <v>78</v>
      </c>
      <c r="O10" t="s">
        <v>139</v>
      </c>
      <c r="Q10" t="s">
        <v>143</v>
      </c>
      <c r="AY10" t="s">
        <v>144</v>
      </c>
    </row>
    <row r="11" spans="1:53" ht="315" x14ac:dyDescent="0.25">
      <c r="A11" t="s">
        <v>145</v>
      </c>
      <c r="B11" t="s">
        <v>146</v>
      </c>
      <c r="C11" t="s">
        <v>71</v>
      </c>
      <c r="D11" t="s">
        <v>147</v>
      </c>
      <c r="F11" t="s">
        <v>148</v>
      </c>
      <c r="G11">
        <v>1</v>
      </c>
      <c r="H11" t="s">
        <v>74</v>
      </c>
      <c r="J11" t="s">
        <v>149</v>
      </c>
      <c r="K11" s="3" t="s">
        <v>150</v>
      </c>
      <c r="L11" t="s">
        <v>151</v>
      </c>
      <c r="N11">
        <v>1</v>
      </c>
      <c r="P11" t="s">
        <v>147</v>
      </c>
      <c r="R11" t="s">
        <v>152</v>
      </c>
      <c r="AZ11" t="s">
        <v>153</v>
      </c>
    </row>
    <row r="12" spans="1:53" ht="409.5" x14ac:dyDescent="0.25">
      <c r="A12" t="s">
        <v>154</v>
      </c>
      <c r="B12" t="s">
        <v>155</v>
      </c>
      <c r="C12" t="s">
        <v>71</v>
      </c>
      <c r="D12" t="s">
        <v>156</v>
      </c>
      <c r="F12" t="s">
        <v>156</v>
      </c>
      <c r="G12">
        <v>1</v>
      </c>
      <c r="H12" t="s">
        <v>74</v>
      </c>
      <c r="J12" t="s">
        <v>156</v>
      </c>
      <c r="K12" s="3" t="s">
        <v>157</v>
      </c>
      <c r="M12" t="s">
        <v>78</v>
      </c>
      <c r="O12" t="s">
        <v>156</v>
      </c>
      <c r="Q12" t="s">
        <v>158</v>
      </c>
    </row>
    <row r="13" spans="1:53" ht="409.5" x14ac:dyDescent="0.25">
      <c r="A13" t="s">
        <v>159</v>
      </c>
      <c r="B13" t="s">
        <v>155</v>
      </c>
      <c r="C13" t="s">
        <v>71</v>
      </c>
      <c r="D13" t="s">
        <v>156</v>
      </c>
      <c r="F13" t="s">
        <v>156</v>
      </c>
      <c r="G13">
        <v>1</v>
      </c>
      <c r="H13" t="s">
        <v>74</v>
      </c>
      <c r="J13" t="s">
        <v>156</v>
      </c>
      <c r="K13" s="3" t="s">
        <v>157</v>
      </c>
      <c r="M13" t="s">
        <v>78</v>
      </c>
      <c r="O13" t="s">
        <v>156</v>
      </c>
      <c r="Q13" t="s">
        <v>158</v>
      </c>
    </row>
    <row r="14" spans="1:53" x14ac:dyDescent="0.25">
      <c r="A14" t="s">
        <v>160</v>
      </c>
      <c r="B14" t="s">
        <v>161</v>
      </c>
      <c r="C14" t="s">
        <v>71</v>
      </c>
      <c r="D14" t="s">
        <v>162</v>
      </c>
      <c r="F14" t="s">
        <v>162</v>
      </c>
      <c r="G14">
        <v>1</v>
      </c>
      <c r="H14" t="s">
        <v>74</v>
      </c>
      <c r="I14" t="s">
        <v>163</v>
      </c>
      <c r="J14" t="s">
        <v>162</v>
      </c>
      <c r="K14" t="s">
        <v>164</v>
      </c>
      <c r="L14" t="s">
        <v>165</v>
      </c>
      <c r="M14" t="s">
        <v>166</v>
      </c>
      <c r="N14" t="s">
        <v>167</v>
      </c>
      <c r="P14" t="s">
        <v>78</v>
      </c>
      <c r="Q14" t="s">
        <v>163</v>
      </c>
      <c r="R14" t="s">
        <v>162</v>
      </c>
      <c r="T14" t="s">
        <v>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"/>
  <sheetViews>
    <sheetView workbookViewId="0">
      <selection sqref="A1:XFD1048576"/>
    </sheetView>
  </sheetViews>
  <sheetFormatPr defaultRowHeight="15" x14ac:dyDescent="0.25"/>
  <sheetData>
    <row r="1" spans="1:7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23</v>
      </c>
      <c r="G1" t="s">
        <v>29</v>
      </c>
    </row>
    <row r="2" spans="1:7" x14ac:dyDescent="0.25">
      <c r="A2" t="s">
        <v>126</v>
      </c>
      <c r="B2" t="s">
        <v>174</v>
      </c>
      <c r="C2">
        <v>-139.763779527559</v>
      </c>
      <c r="D2">
        <v>359.25200787401502</v>
      </c>
      <c r="E2">
        <v>0</v>
      </c>
      <c r="F2">
        <v>603</v>
      </c>
      <c r="G2" t="s">
        <v>130</v>
      </c>
    </row>
    <row r="3" spans="1:7" x14ac:dyDescent="0.25">
      <c r="A3" t="s">
        <v>69</v>
      </c>
      <c r="B3" t="s">
        <v>174</v>
      </c>
      <c r="C3">
        <v>158.41740157480299</v>
      </c>
      <c r="D3">
        <v>185.50783464566899</v>
      </c>
      <c r="E3">
        <v>90</v>
      </c>
      <c r="F3">
        <v>603</v>
      </c>
      <c r="G3" t="s">
        <v>93</v>
      </c>
    </row>
    <row r="4" spans="1:7" x14ac:dyDescent="0.25">
      <c r="A4" t="s">
        <v>69</v>
      </c>
      <c r="B4" t="s">
        <v>174</v>
      </c>
      <c r="C4">
        <v>431.10236220472399</v>
      </c>
      <c r="D4">
        <v>27.755866141732199</v>
      </c>
      <c r="E4">
        <v>90</v>
      </c>
      <c r="F4" t="s">
        <v>73</v>
      </c>
      <c r="G4" t="s">
        <v>77</v>
      </c>
    </row>
    <row r="5" spans="1:7" x14ac:dyDescent="0.25">
      <c r="A5" t="s">
        <v>97</v>
      </c>
      <c r="B5" t="s">
        <v>174</v>
      </c>
      <c r="C5">
        <v>0.98425196850393704</v>
      </c>
      <c r="D5">
        <v>-394.68503937007802</v>
      </c>
      <c r="E5">
        <v>180</v>
      </c>
      <c r="F5" t="s">
        <v>101</v>
      </c>
    </row>
    <row r="6" spans="1:7" x14ac:dyDescent="0.25">
      <c r="A6" t="s">
        <v>131</v>
      </c>
      <c r="B6" t="s">
        <v>174</v>
      </c>
      <c r="C6">
        <v>-352.86614173228298</v>
      </c>
      <c r="D6">
        <v>210.62992125984201</v>
      </c>
      <c r="E6">
        <v>90</v>
      </c>
      <c r="F6">
        <v>603</v>
      </c>
      <c r="G6" t="s">
        <v>130</v>
      </c>
    </row>
    <row r="7" spans="1:7" x14ac:dyDescent="0.25">
      <c r="A7" t="s">
        <v>118</v>
      </c>
      <c r="B7" t="s">
        <v>174</v>
      </c>
      <c r="C7">
        <v>-346.45669291338498</v>
      </c>
      <c r="D7">
        <v>-138.779527559055</v>
      </c>
      <c r="E7">
        <v>90</v>
      </c>
      <c r="F7" t="s">
        <v>121</v>
      </c>
      <c r="G7" t="s">
        <v>175</v>
      </c>
    </row>
    <row r="8" spans="1:7" x14ac:dyDescent="0.25">
      <c r="A8" t="s">
        <v>137</v>
      </c>
      <c r="B8" t="s">
        <v>174</v>
      </c>
      <c r="C8">
        <v>-320.86614173228298</v>
      </c>
      <c r="D8">
        <v>359.25196850393701</v>
      </c>
      <c r="E8">
        <v>180</v>
      </c>
      <c r="F8" t="s">
        <v>140</v>
      </c>
    </row>
    <row r="9" spans="1:7" x14ac:dyDescent="0.25">
      <c r="A9" t="s">
        <v>96</v>
      </c>
      <c r="B9" t="s">
        <v>174</v>
      </c>
      <c r="C9">
        <v>-78.925196850393704</v>
      </c>
      <c r="D9">
        <v>206.69291338582599</v>
      </c>
      <c r="E9">
        <v>270</v>
      </c>
      <c r="F9">
        <v>603</v>
      </c>
      <c r="G9" t="s">
        <v>93</v>
      </c>
    </row>
    <row r="10" spans="1:7" x14ac:dyDescent="0.25">
      <c r="A10" t="s">
        <v>160</v>
      </c>
      <c r="B10" t="s">
        <v>176</v>
      </c>
      <c r="C10">
        <v>0</v>
      </c>
      <c r="D10">
        <v>0</v>
      </c>
      <c r="E10">
        <v>0</v>
      </c>
      <c r="F10" t="s">
        <v>162</v>
      </c>
    </row>
    <row r="11" spans="1:7" x14ac:dyDescent="0.25">
      <c r="A11" t="s">
        <v>145</v>
      </c>
      <c r="B11" t="s">
        <v>174</v>
      </c>
      <c r="C11">
        <v>251.968503937007</v>
      </c>
      <c r="D11">
        <v>370.47248031496002</v>
      </c>
      <c r="E11">
        <v>0</v>
      </c>
      <c r="F11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14"/>
  <sheetViews>
    <sheetView workbookViewId="0">
      <selection activeCell="E6" sqref="E6"/>
    </sheetView>
  </sheetViews>
  <sheetFormatPr defaultRowHeight="15" x14ac:dyDescent="0.25"/>
  <sheetData>
    <row r="2" spans="1:6" x14ac:dyDescent="0.25">
      <c r="A2">
        <v>25</v>
      </c>
      <c r="C2">
        <v>90</v>
      </c>
      <c r="D2">
        <v>0.43110236220472398</v>
      </c>
      <c r="E2">
        <v>2.7755866141732199E-2</v>
      </c>
      <c r="F2" t="s">
        <v>69</v>
      </c>
    </row>
    <row r="3" spans="1:6" x14ac:dyDescent="0.25">
      <c r="A3">
        <v>25</v>
      </c>
      <c r="B3">
        <v>10.02</v>
      </c>
      <c r="C3">
        <v>90</v>
      </c>
      <c r="D3">
        <v>0.43110236220472398</v>
      </c>
      <c r="E3">
        <v>2.7755866141732199E-2</v>
      </c>
      <c r="F3" t="s">
        <v>69</v>
      </c>
    </row>
    <row r="4" spans="1:6" x14ac:dyDescent="0.25">
      <c r="A4">
        <v>25</v>
      </c>
      <c r="C4">
        <v>270</v>
      </c>
      <c r="D4">
        <v>-7.8925196850393703E-2</v>
      </c>
      <c r="E4">
        <v>0.20669291338582599</v>
      </c>
      <c r="F4" t="s">
        <v>96</v>
      </c>
    </row>
    <row r="5" spans="1:6" x14ac:dyDescent="0.25">
      <c r="A5">
        <v>25</v>
      </c>
      <c r="C5">
        <v>180</v>
      </c>
      <c r="D5">
        <v>9.8425196850393699E-4</v>
      </c>
      <c r="E5">
        <v>-0.39468503937007804</v>
      </c>
      <c r="F5" t="s">
        <v>97</v>
      </c>
    </row>
    <row r="6" spans="1:6" x14ac:dyDescent="0.25">
      <c r="A6">
        <v>25</v>
      </c>
      <c r="C6">
        <v>90</v>
      </c>
      <c r="D6">
        <v>-0.34645669291338499</v>
      </c>
      <c r="E6">
        <v>-0.13877952755905501</v>
      </c>
      <c r="F6" t="s">
        <v>118</v>
      </c>
    </row>
    <row r="7" spans="1:6" x14ac:dyDescent="0.25">
      <c r="A7">
        <v>25</v>
      </c>
      <c r="B7">
        <v>10.029999999999999</v>
      </c>
      <c r="C7">
        <v>0</v>
      </c>
      <c r="D7">
        <v>-0.139763779527559</v>
      </c>
      <c r="E7">
        <v>0.35925200787401501</v>
      </c>
      <c r="F7" t="s">
        <v>126</v>
      </c>
    </row>
    <row r="8" spans="1:6" x14ac:dyDescent="0.25">
      <c r="A8">
        <v>25</v>
      </c>
      <c r="B8">
        <v>10.029999999999999</v>
      </c>
      <c r="C8">
        <v>90</v>
      </c>
      <c r="D8">
        <v>-0.35286614173228298</v>
      </c>
      <c r="E8">
        <v>0.21062992125984201</v>
      </c>
      <c r="F8" t="s">
        <v>131</v>
      </c>
    </row>
    <row r="9" spans="1:6" x14ac:dyDescent="0.25">
      <c r="A9">
        <v>25</v>
      </c>
    </row>
    <row r="10" spans="1:6" x14ac:dyDescent="0.25">
      <c r="A10">
        <v>25</v>
      </c>
      <c r="C10">
        <v>180</v>
      </c>
      <c r="D10">
        <v>-0.32086614173228301</v>
      </c>
      <c r="E10">
        <v>0.35925196850393698</v>
      </c>
      <c r="F10" t="s">
        <v>137</v>
      </c>
    </row>
    <row r="11" spans="1:6" x14ac:dyDescent="0.25">
      <c r="A11">
        <v>25</v>
      </c>
      <c r="C11">
        <v>0</v>
      </c>
      <c r="D11">
        <v>0.25196850393700698</v>
      </c>
      <c r="E11">
        <v>0.37047248031496005</v>
      </c>
      <c r="F11" t="s">
        <v>145</v>
      </c>
    </row>
    <row r="12" spans="1:6" x14ac:dyDescent="0.25">
      <c r="A12">
        <v>25</v>
      </c>
    </row>
    <row r="13" spans="1:6" x14ac:dyDescent="0.25">
      <c r="A13">
        <v>25</v>
      </c>
    </row>
    <row r="14" spans="1:6" x14ac:dyDescent="0.25">
      <c r="A14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</vt:lpstr>
      <vt:lpstr>BOM</vt:lpstr>
      <vt:lpstr>Placement</vt:lpstr>
      <vt:lpstr>prg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Barton, Tyler (GE Appliances)</dc:creator>
  <cp:lastModifiedBy>Barton, Tyler (GE Appliances)</cp:lastModifiedBy>
  <dcterms:created xsi:type="dcterms:W3CDTF">2017-08-03T20:25:50Z</dcterms:created>
  <dcterms:modified xsi:type="dcterms:W3CDTF">2017-08-10T18:26:00Z</dcterms:modified>
</cp:coreProperties>
</file>